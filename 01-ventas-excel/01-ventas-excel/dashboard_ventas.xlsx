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ashboard" sheetId="2" state="visible" r:id="rId4"/>
    <sheet name="Ventas por Región" sheetId="3" state="visible" r:id="rId5"/>
    <sheet name="Top Productos" sheetId="4" state="visible" r:id="rId6"/>
    <sheet name="Tendencia Mensu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<sst xmlns="http://schemas.openxmlformats.org/spreadsheetml/2006/main" count="166" uniqueCount="79">
  <si>
    <t xml:space="preserve">ORDER_ID</t>
  </si>
  <si>
    <t xml:space="preserve">FECHA</t>
  </si>
  <si>
    <t xml:space="preserve">REGION</t>
  </si>
  <si>
    <t xml:space="preserve">PRODUCTO</t>
  </si>
  <si>
    <t xml:space="preserve">CATEGORIA</t>
  </si>
  <si>
    <t xml:space="preserve">VENTAS</t>
  </si>
  <si>
    <t xml:space="preserve">UNIDADES</t>
  </si>
  <si>
    <t xml:space="preserve">CLIENTE_ID</t>
  </si>
  <si>
    <t xml:space="preserve">2024-01-01</t>
  </si>
  <si>
    <t xml:space="preserve">Norte</t>
  </si>
  <si>
    <t xml:space="preserve">Laptop Pro</t>
  </si>
  <si>
    <t xml:space="preserve">Tecnología</t>
  </si>
  <si>
    <t xml:space="preserve">C001</t>
  </si>
  <si>
    <t xml:space="preserve">2024-01-03</t>
  </si>
  <si>
    <t xml:space="preserve">Sur</t>
  </si>
  <si>
    <t xml:space="preserve">Mouse Inalámbrico</t>
  </si>
  <si>
    <t xml:space="preserve">Accesorios</t>
  </si>
  <si>
    <t xml:space="preserve">C002</t>
  </si>
  <si>
    <t xml:space="preserve">2024-01-05</t>
  </si>
  <si>
    <t xml:space="preserve">Centro</t>
  </si>
  <si>
    <t xml:space="preserve">Teclado RGB</t>
  </si>
  <si>
    <t xml:space="preserve">C003</t>
  </si>
  <si>
    <t xml:space="preserve">2024-01-08</t>
  </si>
  <si>
    <t xml:space="preserve">Monitor 27"</t>
  </si>
  <si>
    <t xml:space="preserve">2024-01-10</t>
  </si>
  <si>
    <t xml:space="preserve">Este</t>
  </si>
  <si>
    <t xml:space="preserve">C004</t>
  </si>
  <si>
    <t xml:space="preserve">2024-01-12</t>
  </si>
  <si>
    <t xml:space="preserve">Webcam HD</t>
  </si>
  <si>
    <t xml:space="preserve">C005</t>
  </si>
  <si>
    <t xml:space="preserve">2024-01-15</t>
  </si>
  <si>
    <t xml:space="preserve">Auriculares BT</t>
  </si>
  <si>
    <t xml:space="preserve">Audio</t>
  </si>
  <si>
    <t xml:space="preserve">2024-01-18</t>
  </si>
  <si>
    <t xml:space="preserve">C006</t>
  </si>
  <si>
    <t xml:space="preserve">2024-01-20</t>
  </si>
  <si>
    <t xml:space="preserve">2024-01-22</t>
  </si>
  <si>
    <t xml:space="preserve">C007</t>
  </si>
  <si>
    <t xml:space="preserve">2024-01-25</t>
  </si>
  <si>
    <t xml:space="preserve">C008</t>
  </si>
  <si>
    <t xml:space="preserve">2024-01-28</t>
  </si>
  <si>
    <t xml:space="preserve">2024-02-02</t>
  </si>
  <si>
    <t xml:space="preserve">C009</t>
  </si>
  <si>
    <t xml:space="preserve">2024-02-05</t>
  </si>
  <si>
    <t xml:space="preserve">C010</t>
  </si>
  <si>
    <t xml:space="preserve">2024-02-08</t>
  </si>
  <si>
    <t xml:space="preserve">2024-02-12</t>
  </si>
  <si>
    <t xml:space="preserve">2024-02-15</t>
  </si>
  <si>
    <t xml:space="preserve">2024-02-20</t>
  </si>
  <si>
    <t xml:space="preserve">2024-02-25</t>
  </si>
  <si>
    <t xml:space="preserve">2024-03-01</t>
  </si>
  <si>
    <t xml:space="preserve">2024-03-05</t>
  </si>
  <si>
    <t xml:space="preserve">2024-03-10</t>
  </si>
  <si>
    <t xml:space="preserve">2024-03-15</t>
  </si>
  <si>
    <t xml:space="preserve">2024-03-20</t>
  </si>
  <si>
    <t xml:space="preserve">2024-03-28</t>
  </si>
  <si>
    <t xml:space="preserve">📊 DASHBOARD DE VENTAS 2024</t>
  </si>
  <si>
    <t xml:space="preserve">Análisis de Ventas por Región, Producto y Tendencia Mensual</t>
  </si>
  <si>
    <t xml:space="preserve">KPIs PRINCIPALES</t>
  </si>
  <si>
    <t xml:space="preserve">TOTAL VENTAS</t>
  </si>
  <si>
    <t xml:space="preserve">TOTAL PEDIDOS</t>
  </si>
  <si>
    <t xml:space="preserve">TICKET PROMEDIO</t>
  </si>
  <si>
    <t xml:space="preserve">TOTAL UNIDADES</t>
  </si>
  <si>
    <t xml:space="preserve">VENTAS POR REGIÓN</t>
  </si>
  <si>
    <t xml:space="preserve">Región</t>
  </si>
  <si>
    <t xml:space="preserve">Total Ventas</t>
  </si>
  <si>
    <t xml:space="preserve">% del Total</t>
  </si>
  <si>
    <t xml:space="preserve">TOTAL</t>
  </si>
  <si>
    <t xml:space="preserve">TOP PRODUCTOS MÁS VENDIDOS</t>
  </si>
  <si>
    <t xml:space="preserve">Producto</t>
  </si>
  <si>
    <t xml:space="preserve">Ingresos Totales</t>
  </si>
  <si>
    <t xml:space="preserve">Unidades Vendidas</t>
  </si>
  <si>
    <t xml:space="preserve">TENDENCIA MENSUAL DE VENTAS</t>
  </si>
  <si>
    <t xml:space="preserve">Mes</t>
  </si>
  <si>
    <t xml:space="preserve">Ingresos</t>
  </si>
  <si>
    <t xml:space="preserve">Pedidos</t>
  </si>
  <si>
    <t xml:space="preserve">Enero 2024</t>
  </si>
  <si>
    <t xml:space="preserve">Febrero 2024</t>
  </si>
  <si>
    <t xml:space="preserve">Marzo 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</si>
</sst>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9F9F9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'Ventas por Región'!B2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'Ventas por Región'!$A$3:$A$6</c:f>
              <c:strCache>
                <c:ptCount val="4"/>
                <c:pt idx="0">
                  <c:v>Norte</c:v>
                </c:pt>
                <c:pt idx="1">
                  <c:v>Sur</c:v>
                </c:pt>
                <c:pt idx="2">
                  <c:v>Centro</c:v>
                </c:pt>
                <c:pt idx="3">
                  <c:v>Este</c:v>
                </c:pt>
              </c:strCache>
            </c:strRef>
          </c:cat>
          <c:val>
            <c:numRef>
              <c:f>'Ventas por Región'!$B$3:$B$6</c:f>
              <c:numCache>
                <c:formatCode>\$#,##0</c:formatCode>
                <c:ptCount val="4"/>
                <c:pt idx="0">
                  <c:v>43390</c:v>
                </c:pt>
                <c:pt idx="1">
                  <c:v>53450</c:v>
                </c:pt>
                <c:pt idx="2">
                  <c:v>37890</c:v>
                </c:pt>
                <c:pt idx="3">
                  <c:v>50790</c:v>
                </c:pt>
              </c:numCache>
            </c:numRef>
          </c:val>
        </c:ser>
        <c:gapWidth val="150"/>
        <c:overlap val="0"/>
        <c:axId val="54393498"/>
        <c:axId val="95877121"/>
      </c:barChart>
      <c:catAx>
        <c:axId val="543934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77121"/>
        <c:crosses val="autoZero"/>
        <c:auto val="1"/>
        <c:lblAlgn val="ctr"/>
        <c:lblOffset val="100"/>
        <c:noMultiLvlLbl val="0"/>
      </c:catAx>
      <c:valAx>
        <c:axId val="95877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93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Productos'!B2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Productos'!$A$3:$A$8</c:f>
              <c:strCache>
                <c:ptCount val="6"/>
                <c:pt idx="0">
                  <c:v>Laptop Pro</c:v>
                </c:pt>
                <c:pt idx="1">
                  <c:v>Monitor 27"</c:v>
                </c:pt>
                <c:pt idx="2">
                  <c:v>Auriculares BT</c:v>
                </c:pt>
                <c:pt idx="3">
                  <c:v>Webcam HD</c:v>
                </c:pt>
                <c:pt idx="4">
                  <c:v>Teclado RGB</c:v>
                </c:pt>
                <c:pt idx="5">
                  <c:v>Mouse Inalámbrico</c:v>
                </c:pt>
              </c:strCache>
            </c:strRef>
          </c:cat>
          <c:val>
            <c:numRef>
              <c:f>'Top Productos'!$B$3:$B$8</c:f>
              <c:numCache>
                <c:formatCode>\$#,##0</c:formatCode>
                <c:ptCount val="6"/>
                <c:pt idx="0">
                  <c:v>125000</c:v>
                </c:pt>
                <c:pt idx="1">
                  <c:v>42500</c:v>
                </c:pt>
                <c:pt idx="2">
                  <c:v>16100</c:v>
                </c:pt>
                <c:pt idx="3">
                  <c:v>6000</c:v>
                </c:pt>
                <c:pt idx="4">
                  <c:v>3560</c:v>
                </c:pt>
                <c:pt idx="5">
                  <c:v>1800</c:v>
                </c:pt>
              </c:numCache>
            </c:numRef>
          </c:val>
        </c:ser>
        <c:gapWidth val="150"/>
        <c:overlap val="0"/>
        <c:axId val="13602048"/>
        <c:axId val="60859206"/>
      </c:barChart>
      <c:catAx>
        <c:axId val="1360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9206"/>
        <c:crosses val="autoZero"/>
        <c:auto val="1"/>
        <c:lblAlgn val="ctr"/>
        <c:lblOffset val="100"/>
        <c:noMultiLvlLbl val="0"/>
      </c:catAx>
      <c:valAx>
        <c:axId val="60859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02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de Ingresos Mensuales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'Tendencia Mensual'!B2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'Tendencia Mensual'!$A$3:$A$5</c:f>
              <c:strCache>
                <c:ptCount val="3"/>
                <c:pt idx="0">
                  <c:v>Enero 2024</c:v>
                </c:pt>
                <c:pt idx="1">
                  <c:v>Febrero 2024</c:v>
                </c:pt>
                <c:pt idx="2">
                  <c:v>Marzo 2024</c:v>
                </c:pt>
              </c:strCache>
            </c:strRef>
          </c:cat>
          <c:val>
            <c:numRef>
              <c:f>'Tendencia Mensual'!$B$3:$B$5</c:f>
              <c:numCache>
                <c:formatCode>\$#,##0</c:formatCode>
                <c:ptCount val="3"/>
                <c:pt idx="0">
                  <c:v>63340</c:v>
                </c:pt>
                <c:pt idx="1">
                  <c:v>67490</c:v>
                </c:pt>
                <c:pt idx="2">
                  <c:v>57690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656956"/>
        <c:axId val="66681443"/>
      </c:lineChart>
      <c:catAx>
        <c:axId val="12656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81443"/>
        <c:crosses val="autoZero"/>
        <c:auto val="1"/>
        <c:lblAlgn val="ctr"/>
        <c:lblOffset val="100"/>
        <c:noMultiLvlLbl val="0"/>
      </c:catAx>
      <c:valAx>
        <c:axId val="66681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Ingresos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56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507600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3571920" y="380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507600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4699800" y="380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507600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3712680" y="3808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8" min="6" style="0" width="1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1001</v>
      </c>
      <c r="B2" s="2" t="s">
        <v>8</v>
      </c>
      <c r="C2" s="2" t="s">
        <v>9</v>
      </c>
      <c r="D2" s="2" t="s">
        <v>10</v>
      </c>
      <c r="E2" s="2" t="s">
        <v>11</v>
      </c>
      <c r="F2" s="3" t="n">
        <v>25000</v>
      </c>
      <c r="G2" s="2" t="n">
        <v>1</v>
      </c>
      <c r="H2" s="2" t="s">
        <v>12</v>
      </c>
    </row>
    <row r="3" customFormat="false" ht="15" hidden="false" customHeight="false" outlineLevel="0" collapsed="false">
      <c r="A3" s="4" t="n">
        <v>1002</v>
      </c>
      <c r="B3" s="4" t="s">
        <v>13</v>
      </c>
      <c r="C3" s="4" t="s">
        <v>14</v>
      </c>
      <c r="D3" s="4" t="s">
        <v>15</v>
      </c>
      <c r="E3" s="4" t="s">
        <v>16</v>
      </c>
      <c r="F3" s="5" t="n">
        <v>450</v>
      </c>
      <c r="G3" s="4" t="n">
        <v>3</v>
      </c>
      <c r="H3" s="4" t="s">
        <v>17</v>
      </c>
    </row>
    <row r="4" customFormat="false" ht="15" hidden="false" customHeight="false" outlineLevel="0" collapsed="false">
      <c r="A4" s="2" t="n">
        <v>1003</v>
      </c>
      <c r="B4" s="2" t="s">
        <v>18</v>
      </c>
      <c r="C4" s="2" t="s">
        <v>19</v>
      </c>
      <c r="D4" s="2" t="s">
        <v>20</v>
      </c>
      <c r="E4" s="2" t="s">
        <v>16</v>
      </c>
      <c r="F4" s="3" t="n">
        <v>890</v>
      </c>
      <c r="G4" s="2" t="n">
        <v>2</v>
      </c>
      <c r="H4" s="2" t="s">
        <v>21</v>
      </c>
    </row>
    <row r="5" customFormat="false" ht="15" hidden="false" customHeight="false" outlineLevel="0" collapsed="false">
      <c r="A5" s="4" t="n">
        <v>1004</v>
      </c>
      <c r="B5" s="4" t="s">
        <v>22</v>
      </c>
      <c r="C5" s="4" t="s">
        <v>9</v>
      </c>
      <c r="D5" s="4" t="s">
        <v>23</v>
      </c>
      <c r="E5" s="4" t="s">
        <v>11</v>
      </c>
      <c r="F5" s="5" t="n">
        <v>8500</v>
      </c>
      <c r="G5" s="4" t="n">
        <v>1</v>
      </c>
      <c r="H5" s="4" t="s">
        <v>12</v>
      </c>
    </row>
    <row r="6" customFormat="false" ht="15" hidden="false" customHeight="false" outlineLevel="0" collapsed="false">
      <c r="A6" s="2" t="n">
        <v>1005</v>
      </c>
      <c r="B6" s="2" t="s">
        <v>24</v>
      </c>
      <c r="C6" s="2" t="s">
        <v>25</v>
      </c>
      <c r="D6" s="2" t="s">
        <v>10</v>
      </c>
      <c r="E6" s="2" t="s">
        <v>11</v>
      </c>
      <c r="F6" s="3" t="n">
        <v>25000</v>
      </c>
      <c r="G6" s="2" t="n">
        <v>2</v>
      </c>
      <c r="H6" s="2" t="s">
        <v>26</v>
      </c>
    </row>
    <row r="7" customFormat="false" ht="15" hidden="false" customHeight="false" outlineLevel="0" collapsed="false">
      <c r="A7" s="4" t="n">
        <v>1006</v>
      </c>
      <c r="B7" s="4" t="s">
        <v>27</v>
      </c>
      <c r="C7" s="4" t="s">
        <v>14</v>
      </c>
      <c r="D7" s="4" t="s">
        <v>28</v>
      </c>
      <c r="E7" s="4" t="s">
        <v>16</v>
      </c>
      <c r="F7" s="5" t="n">
        <v>1200</v>
      </c>
      <c r="G7" s="4" t="n">
        <v>1</v>
      </c>
      <c r="H7" s="4" t="s">
        <v>29</v>
      </c>
    </row>
    <row r="8" customFormat="false" ht="15" hidden="false" customHeight="false" outlineLevel="0" collapsed="false">
      <c r="A8" s="2" t="n">
        <v>1007</v>
      </c>
      <c r="B8" s="2" t="s">
        <v>30</v>
      </c>
      <c r="C8" s="2" t="s">
        <v>9</v>
      </c>
      <c r="D8" s="2" t="s">
        <v>31</v>
      </c>
      <c r="E8" s="2" t="s">
        <v>32</v>
      </c>
      <c r="F8" s="3" t="n">
        <v>2300</v>
      </c>
      <c r="G8" s="2" t="n">
        <v>2</v>
      </c>
      <c r="H8" s="2" t="s">
        <v>17</v>
      </c>
    </row>
    <row r="9" customFormat="false" ht="15" hidden="false" customHeight="false" outlineLevel="0" collapsed="false">
      <c r="A9" s="4" t="n">
        <v>1008</v>
      </c>
      <c r="B9" s="4" t="s">
        <v>33</v>
      </c>
      <c r="C9" s="4" t="s">
        <v>19</v>
      </c>
      <c r="D9" s="4" t="s">
        <v>23</v>
      </c>
      <c r="E9" s="4" t="s">
        <v>11</v>
      </c>
      <c r="F9" s="5" t="n">
        <v>8500</v>
      </c>
      <c r="G9" s="4" t="n">
        <v>1</v>
      </c>
      <c r="H9" s="4" t="s">
        <v>34</v>
      </c>
    </row>
    <row r="10" customFormat="false" ht="15" hidden="false" customHeight="false" outlineLevel="0" collapsed="false">
      <c r="A10" s="2" t="n">
        <v>1009</v>
      </c>
      <c r="B10" s="2" t="s">
        <v>35</v>
      </c>
      <c r="C10" s="2" t="s">
        <v>25</v>
      </c>
      <c r="D10" s="2" t="s">
        <v>15</v>
      </c>
      <c r="E10" s="2" t="s">
        <v>16</v>
      </c>
      <c r="F10" s="3" t="n">
        <v>450</v>
      </c>
      <c r="G10" s="2" t="n">
        <v>5</v>
      </c>
      <c r="H10" s="2" t="s">
        <v>21</v>
      </c>
    </row>
    <row r="11" customFormat="false" ht="15" hidden="false" customHeight="false" outlineLevel="0" collapsed="false">
      <c r="A11" s="4" t="n">
        <v>1010</v>
      </c>
      <c r="B11" s="4" t="s">
        <v>36</v>
      </c>
      <c r="C11" s="4" t="s">
        <v>14</v>
      </c>
      <c r="D11" s="4" t="s">
        <v>10</v>
      </c>
      <c r="E11" s="4" t="s">
        <v>11</v>
      </c>
      <c r="F11" s="5" t="n">
        <v>25000</v>
      </c>
      <c r="G11" s="4" t="n">
        <v>1</v>
      </c>
      <c r="H11" s="4" t="s">
        <v>37</v>
      </c>
    </row>
    <row r="12" customFormat="false" ht="15" hidden="false" customHeight="false" outlineLevel="0" collapsed="false">
      <c r="A12" s="2" t="n">
        <v>1011</v>
      </c>
      <c r="B12" s="2" t="s">
        <v>38</v>
      </c>
      <c r="C12" s="2" t="s">
        <v>9</v>
      </c>
      <c r="D12" s="2" t="s">
        <v>28</v>
      </c>
      <c r="E12" s="2" t="s">
        <v>16</v>
      </c>
      <c r="F12" s="3" t="n">
        <v>1200</v>
      </c>
      <c r="G12" s="2" t="n">
        <v>2</v>
      </c>
      <c r="H12" s="2" t="s">
        <v>39</v>
      </c>
    </row>
    <row r="13" customFormat="false" ht="15" hidden="false" customHeight="false" outlineLevel="0" collapsed="false">
      <c r="A13" s="4" t="n">
        <v>1012</v>
      </c>
      <c r="B13" s="4" t="s">
        <v>40</v>
      </c>
      <c r="C13" s="4" t="s">
        <v>19</v>
      </c>
      <c r="D13" s="4" t="s">
        <v>31</v>
      </c>
      <c r="E13" s="4" t="s">
        <v>32</v>
      </c>
      <c r="F13" s="5" t="n">
        <v>2300</v>
      </c>
      <c r="G13" s="4" t="n">
        <v>1</v>
      </c>
      <c r="H13" s="4" t="s">
        <v>26</v>
      </c>
    </row>
    <row r="14" customFormat="false" ht="15" hidden="false" customHeight="false" outlineLevel="0" collapsed="false">
      <c r="A14" s="2" t="n">
        <v>1013</v>
      </c>
      <c r="B14" s="2" t="s">
        <v>41</v>
      </c>
      <c r="C14" s="2" t="s">
        <v>25</v>
      </c>
      <c r="D14" s="2" t="s">
        <v>20</v>
      </c>
      <c r="E14" s="2" t="s">
        <v>16</v>
      </c>
      <c r="F14" s="3" t="n">
        <v>890</v>
      </c>
      <c r="G14" s="2" t="n">
        <v>3</v>
      </c>
      <c r="H14" s="2" t="s">
        <v>42</v>
      </c>
    </row>
    <row r="15" customFormat="false" ht="15" hidden="false" customHeight="false" outlineLevel="0" collapsed="false">
      <c r="A15" s="4" t="n">
        <v>1014</v>
      </c>
      <c r="B15" s="4" t="s">
        <v>43</v>
      </c>
      <c r="C15" s="4" t="s">
        <v>9</v>
      </c>
      <c r="D15" s="4" t="s">
        <v>23</v>
      </c>
      <c r="E15" s="4" t="s">
        <v>11</v>
      </c>
      <c r="F15" s="5" t="n">
        <v>8500</v>
      </c>
      <c r="G15" s="4" t="n">
        <v>2</v>
      </c>
      <c r="H15" s="4" t="s">
        <v>44</v>
      </c>
    </row>
    <row r="16" customFormat="false" ht="15" hidden="false" customHeight="false" outlineLevel="0" collapsed="false">
      <c r="A16" s="2" t="n">
        <v>1015</v>
      </c>
      <c r="B16" s="2" t="s">
        <v>45</v>
      </c>
      <c r="C16" s="2" t="s">
        <v>14</v>
      </c>
      <c r="D16" s="2" t="s">
        <v>10</v>
      </c>
      <c r="E16" s="2" t="s">
        <v>11</v>
      </c>
      <c r="F16" s="3" t="n">
        <v>25000</v>
      </c>
      <c r="G16" s="2" t="n">
        <v>1</v>
      </c>
      <c r="H16" s="2" t="s">
        <v>29</v>
      </c>
    </row>
    <row r="17" customFormat="false" ht="15" hidden="false" customHeight="false" outlineLevel="0" collapsed="false">
      <c r="A17" s="4" t="n">
        <v>1016</v>
      </c>
      <c r="B17" s="4" t="s">
        <v>46</v>
      </c>
      <c r="C17" s="4" t="s">
        <v>9</v>
      </c>
      <c r="D17" s="4" t="s">
        <v>31</v>
      </c>
      <c r="E17" s="4" t="s">
        <v>32</v>
      </c>
      <c r="F17" s="5" t="n">
        <v>2300</v>
      </c>
      <c r="G17" s="4" t="n">
        <v>3</v>
      </c>
      <c r="H17" s="4" t="s">
        <v>12</v>
      </c>
    </row>
    <row r="18" customFormat="false" ht="15" hidden="false" customHeight="false" outlineLevel="0" collapsed="false">
      <c r="A18" s="2" t="n">
        <v>1017</v>
      </c>
      <c r="B18" s="2" t="s">
        <v>47</v>
      </c>
      <c r="C18" s="2" t="s">
        <v>19</v>
      </c>
      <c r="D18" s="2" t="s">
        <v>28</v>
      </c>
      <c r="E18" s="2" t="s">
        <v>16</v>
      </c>
      <c r="F18" s="3" t="n">
        <v>1200</v>
      </c>
      <c r="G18" s="2" t="n">
        <v>1</v>
      </c>
      <c r="H18" s="2" t="s">
        <v>37</v>
      </c>
    </row>
    <row r="19" customFormat="false" ht="15" hidden="false" customHeight="false" outlineLevel="0" collapsed="false">
      <c r="A19" s="4" t="n">
        <v>1018</v>
      </c>
      <c r="B19" s="4" t="s">
        <v>48</v>
      </c>
      <c r="C19" s="4" t="s">
        <v>25</v>
      </c>
      <c r="D19" s="4" t="s">
        <v>10</v>
      </c>
      <c r="E19" s="4" t="s">
        <v>11</v>
      </c>
      <c r="F19" s="5" t="n">
        <v>25000</v>
      </c>
      <c r="G19" s="4" t="n">
        <v>1</v>
      </c>
      <c r="H19" s="4" t="s">
        <v>39</v>
      </c>
    </row>
    <row r="20" customFormat="false" ht="15" hidden="false" customHeight="false" outlineLevel="0" collapsed="false">
      <c r="A20" s="2" t="n">
        <v>1019</v>
      </c>
      <c r="B20" s="2" t="s">
        <v>49</v>
      </c>
      <c r="C20" s="2" t="s">
        <v>14</v>
      </c>
      <c r="D20" s="2" t="s">
        <v>23</v>
      </c>
      <c r="E20" s="2" t="s">
        <v>11</v>
      </c>
      <c r="F20" s="3" t="n">
        <v>8500</v>
      </c>
      <c r="G20" s="2" t="n">
        <v>2</v>
      </c>
      <c r="H20" s="2" t="s">
        <v>42</v>
      </c>
    </row>
    <row r="21" customFormat="false" ht="15" hidden="false" customHeight="false" outlineLevel="0" collapsed="false">
      <c r="A21" s="4" t="n">
        <v>1020</v>
      </c>
      <c r="B21" s="4" t="s">
        <v>50</v>
      </c>
      <c r="C21" s="4" t="s">
        <v>9</v>
      </c>
      <c r="D21" s="4" t="s">
        <v>20</v>
      </c>
      <c r="E21" s="4" t="s">
        <v>16</v>
      </c>
      <c r="F21" s="5" t="n">
        <v>890</v>
      </c>
      <c r="G21" s="4" t="n">
        <v>4</v>
      </c>
      <c r="H21" s="4" t="s">
        <v>44</v>
      </c>
    </row>
    <row r="22" customFormat="false" ht="15" hidden="false" customHeight="false" outlineLevel="0" collapsed="false">
      <c r="A22" s="2" t="n">
        <v>1021</v>
      </c>
      <c r="B22" s="2" t="s">
        <v>51</v>
      </c>
      <c r="C22" s="2" t="s">
        <v>19</v>
      </c>
      <c r="D22" s="2" t="s">
        <v>10</v>
      </c>
      <c r="E22" s="2" t="s">
        <v>11</v>
      </c>
      <c r="F22" s="3" t="n">
        <v>25000</v>
      </c>
      <c r="G22" s="2" t="n">
        <v>1</v>
      </c>
      <c r="H22" s="2" t="s">
        <v>17</v>
      </c>
    </row>
    <row r="23" customFormat="false" ht="15" hidden="false" customHeight="false" outlineLevel="0" collapsed="false">
      <c r="A23" s="4" t="n">
        <v>1022</v>
      </c>
      <c r="B23" s="4" t="s">
        <v>52</v>
      </c>
      <c r="C23" s="4" t="s">
        <v>25</v>
      </c>
      <c r="D23" s="4" t="s">
        <v>15</v>
      </c>
      <c r="E23" s="4" t="s">
        <v>16</v>
      </c>
      <c r="F23" s="5" t="n">
        <v>450</v>
      </c>
      <c r="G23" s="4" t="n">
        <v>6</v>
      </c>
      <c r="H23" s="4" t="s">
        <v>21</v>
      </c>
    </row>
    <row r="24" customFormat="false" ht="15" hidden="false" customHeight="false" outlineLevel="0" collapsed="false">
      <c r="A24" s="2" t="n">
        <v>1023</v>
      </c>
      <c r="B24" s="2" t="s">
        <v>53</v>
      </c>
      <c r="C24" s="2" t="s">
        <v>14</v>
      </c>
      <c r="D24" s="2" t="s">
        <v>31</v>
      </c>
      <c r="E24" s="2" t="s">
        <v>32</v>
      </c>
      <c r="F24" s="3" t="n">
        <v>2300</v>
      </c>
      <c r="G24" s="2" t="n">
        <v>2</v>
      </c>
      <c r="H24" s="2" t="s">
        <v>34</v>
      </c>
    </row>
    <row r="25" customFormat="false" ht="15" hidden="false" customHeight="false" outlineLevel="0" collapsed="false">
      <c r="A25" s="4" t="n">
        <v>1024</v>
      </c>
      <c r="B25" s="4" t="s">
        <v>54</v>
      </c>
      <c r="C25" s="4" t="s">
        <v>9</v>
      </c>
      <c r="D25" s="4" t="s">
        <v>23</v>
      </c>
      <c r="E25" s="4" t="s">
        <v>11</v>
      </c>
      <c r="F25" s="5" t="n">
        <v>8500</v>
      </c>
      <c r="G25" s="4" t="n">
        <v>1</v>
      </c>
      <c r="H25" s="4" t="s">
        <v>29</v>
      </c>
    </row>
    <row r="26" customFormat="false" ht="15" hidden="false" customHeight="false" outlineLevel="0" collapsed="false">
      <c r="A26" s="2" t="n">
        <v>1025</v>
      </c>
      <c r="B26" s="2" t="s">
        <v>55</v>
      </c>
      <c r="C26" s="2" t="s">
        <v>19</v>
      </c>
      <c r="D26" s="2" t="s">
        <v>28</v>
      </c>
      <c r="E26" s="2" t="s">
        <v>16</v>
      </c>
      <c r="F26" s="3" t="n">
        <v>1200</v>
      </c>
      <c r="G26" s="2" t="n">
        <v>3</v>
      </c>
      <c r="H26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75" hidden="false" customHeight="true" outlineLevel="0" collapsed="false">
      <c r="A1" s="6" t="s">
        <v>56</v>
      </c>
      <c r="B1" s="6"/>
      <c r="C1" s="6"/>
      <c r="D1" s="6"/>
      <c r="E1" s="6"/>
      <c r="F1" s="6"/>
      <c r="G1" s="6"/>
      <c r="H1" s="6"/>
    </row>
    <row r="2" customFormat="false" ht="21.75" hidden="false" customHeight="true" outlineLevel="0" collapsed="false">
      <c r="A2" s="7" t="s">
        <v>57</v>
      </c>
      <c r="B2" s="7"/>
      <c r="C2" s="7"/>
      <c r="D2" s="7"/>
      <c r="E2" s="7"/>
      <c r="F2" s="7"/>
      <c r="G2" s="7"/>
      <c r="H2" s="7"/>
    </row>
    <row r="4" customFormat="false" ht="24" hidden="false" customHeight="true" outlineLevel="0" collapsed="false">
      <c r="A4" s="8" t="s">
        <v>58</v>
      </c>
      <c r="B4" s="8"/>
      <c r="C4" s="8"/>
      <c r="D4" s="8"/>
      <c r="E4" s="8"/>
      <c r="F4" s="8"/>
      <c r="G4" s="8"/>
      <c r="H4" s="8"/>
    </row>
    <row r="5" customFormat="false" ht="21.75" hidden="false" customHeight="true" outlineLevel="0" collapsed="false">
      <c r="A5" s="9" t="s">
        <v>59</v>
      </c>
      <c r="C5" s="9" t="s">
        <v>60</v>
      </c>
      <c r="E5" s="9" t="s">
        <v>61</v>
      </c>
      <c r="G5" s="9" t="s">
        <v>62</v>
      </c>
    </row>
    <row r="6" customFormat="false" ht="30" hidden="false" customHeight="true" outlineLevel="0" collapsed="false">
      <c r="A6" s="10" t="n">
        <f aca="false">SUM(Datos!F:F)</f>
        <v>210520</v>
      </c>
      <c r="C6" s="11" t="n">
        <f aca="false">COUNTA(Datos!A2:A1000)</f>
        <v>25</v>
      </c>
      <c r="E6" s="10" t="n">
        <f aca="false">AVERAGE(Datos!F2:F1000)</f>
        <v>8420.8</v>
      </c>
      <c r="G6" s="11" t="n">
        <f aca="false">SUM(Datos!G:G)</f>
        <v>52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2" t="s">
        <v>63</v>
      </c>
      <c r="B1" s="12"/>
      <c r="C1" s="12"/>
    </row>
    <row r="2" customFormat="false" ht="15" hidden="false" customHeight="false" outlineLevel="0" collapsed="false">
      <c r="A2" s="13" t="s">
        <v>64</v>
      </c>
      <c r="B2" s="13" t="s">
        <v>65</v>
      </c>
      <c r="C2" s="13" t="s">
        <v>66</v>
      </c>
    </row>
    <row r="3" customFormat="false" ht="15" hidden="false" customHeight="false" outlineLevel="0" collapsed="false">
      <c r="A3" s="14" t="s">
        <v>9</v>
      </c>
      <c r="B3" s="15" t="n">
        <v>43390</v>
      </c>
      <c r="C3" s="16" t="n">
        <v>0.233883139284174</v>
      </c>
    </row>
    <row r="4" customFormat="false" ht="15" hidden="false" customHeight="false" outlineLevel="0" collapsed="false">
      <c r="A4" s="17" t="s">
        <v>14</v>
      </c>
      <c r="B4" s="18" t="n">
        <v>53450</v>
      </c>
      <c r="C4" s="19" t="n">
        <v>0.288109098749461</v>
      </c>
    </row>
    <row r="5" customFormat="false" ht="15" hidden="false" customHeight="false" outlineLevel="0" collapsed="false">
      <c r="A5" s="14" t="s">
        <v>19</v>
      </c>
      <c r="B5" s="15" t="n">
        <v>37890</v>
      </c>
      <c r="C5" s="16" t="n">
        <v>0.204236739974127</v>
      </c>
    </row>
    <row r="6" customFormat="false" ht="15" hidden="false" customHeight="false" outlineLevel="0" collapsed="false">
      <c r="A6" s="17" t="s">
        <v>25</v>
      </c>
      <c r="B6" s="18" t="n">
        <v>50790</v>
      </c>
      <c r="C6" s="19" t="n">
        <v>0.273771021992238</v>
      </c>
    </row>
    <row r="7" customFormat="false" ht="15" hidden="false" customHeight="false" outlineLevel="0" collapsed="false">
      <c r="A7" s="20" t="s">
        <v>67</v>
      </c>
      <c r="B7" s="21" t="n">
        <v>185520</v>
      </c>
      <c r="C7" s="22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2" t="s">
        <v>68</v>
      </c>
      <c r="B1" s="12"/>
      <c r="C1" s="12"/>
    </row>
    <row r="2" customFormat="false" ht="15" hidden="false" customHeight="false" outlineLevel="0" collapsed="false">
      <c r="A2" s="13" t="s">
        <v>69</v>
      </c>
      <c r="B2" s="13" t="s">
        <v>70</v>
      </c>
      <c r="C2" s="13" t="s">
        <v>71</v>
      </c>
    </row>
    <row r="3" customFormat="false" ht="15" hidden="false" customHeight="false" outlineLevel="0" collapsed="false">
      <c r="A3" s="14" t="s">
        <v>10</v>
      </c>
      <c r="B3" s="15" t="n">
        <v>125000</v>
      </c>
      <c r="C3" s="14" t="n">
        <v>5</v>
      </c>
    </row>
    <row r="4" customFormat="false" ht="15" hidden="false" customHeight="false" outlineLevel="0" collapsed="false">
      <c r="A4" s="17" t="s">
        <v>23</v>
      </c>
      <c r="B4" s="18" t="n">
        <v>42500</v>
      </c>
      <c r="C4" s="17" t="n">
        <v>5</v>
      </c>
    </row>
    <row r="5" customFormat="false" ht="15" hidden="false" customHeight="false" outlineLevel="0" collapsed="false">
      <c r="A5" s="14" t="s">
        <v>31</v>
      </c>
      <c r="B5" s="15" t="n">
        <v>16100</v>
      </c>
      <c r="C5" s="14" t="n">
        <v>7</v>
      </c>
    </row>
    <row r="6" customFormat="false" ht="15" hidden="false" customHeight="false" outlineLevel="0" collapsed="false">
      <c r="A6" s="17" t="s">
        <v>28</v>
      </c>
      <c r="B6" s="18" t="n">
        <v>6000</v>
      </c>
      <c r="C6" s="17" t="n">
        <v>5</v>
      </c>
    </row>
    <row r="7" customFormat="false" ht="15" hidden="false" customHeight="false" outlineLevel="0" collapsed="false">
      <c r="A7" s="14" t="s">
        <v>20</v>
      </c>
      <c r="B7" s="15" t="n">
        <v>3560</v>
      </c>
      <c r="C7" s="14" t="n">
        <v>9</v>
      </c>
    </row>
    <row r="8" customFormat="false" ht="15" hidden="false" customHeight="false" outlineLevel="0" collapsed="false">
      <c r="A8" s="17" t="s">
        <v>15</v>
      </c>
      <c r="B8" s="18" t="n">
        <v>1800</v>
      </c>
      <c r="C8" s="17" t="n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2" t="s">
        <v>72</v>
      </c>
      <c r="B1" s="12"/>
      <c r="C1" s="12"/>
    </row>
    <row r="2" customFormat="false" ht="15" hidden="false" customHeight="false" outlineLevel="0" collapsed="false">
      <c r="A2" s="13" t="s">
        <v>73</v>
      </c>
      <c r="B2" s="13" t="s">
        <v>74</v>
      </c>
      <c r="C2" s="13" t="s">
        <v>75</v>
      </c>
    </row>
    <row r="3" customFormat="false" ht="15" hidden="false" customHeight="false" outlineLevel="0" collapsed="false">
      <c r="A3" s="14" t="s">
        <v>76</v>
      </c>
      <c r="B3" s="15" t="n">
        <v>63340</v>
      </c>
      <c r="C3" s="14" t="n">
        <v>12</v>
      </c>
    </row>
    <row r="4" customFormat="false" ht="15" hidden="false" customHeight="false" outlineLevel="0" collapsed="false">
      <c r="A4" s="17" t="s">
        <v>77</v>
      </c>
      <c r="B4" s="18" t="n">
        <v>67490</v>
      </c>
      <c r="C4" s="17" t="n">
        <v>7</v>
      </c>
    </row>
    <row r="5" customFormat="false" ht="15" hidden="false" customHeight="false" outlineLevel="0" collapsed="false">
      <c r="A5" s="14" t="s">
        <v>78</v>
      </c>
      <c r="B5" s="15" t="n">
        <v>57690</v>
      </c>
      <c r="C5" s="14" t="n">
        <v>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2026-06-08T19:54:27Z</dcterms:created>
  <dc:creator>openpyxl</dc:creator>
  <dc:description/>
  <dc:language>en-US</dc:language>
  <cp:lastModifiedBy/>
  <dcterms:modified xsi:type="dcterms:W3CDTF">2026-06-08T19:54:35Z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